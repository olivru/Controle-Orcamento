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bimcosmeticos-my.sharepoint.com/personal/rubia_oliveira_bimdistribuidora_com_br/Documents/Área de Trabalho/"/>
    </mc:Choice>
  </mc:AlternateContent>
  <xr:revisionPtr revIDLastSave="76" documentId="8_{8FD8A3DB-2514-464A-9DE2-9B6656574E54}" xr6:coauthVersionLast="47" xr6:coauthVersionMax="47" xr10:uidLastSave="{9681DAED-B10E-40B2-A367-BBECE22C8C75}"/>
  <bookViews>
    <workbookView xWindow="-120" yWindow="-120" windowWidth="20730" windowHeight="11040" tabRatio="692" xr2:uid="{21AF5686-43DE-436F-830C-EAB08FC5D1D8}"/>
  </bookViews>
  <sheets>
    <sheet name="ORÇAMENTO" sheetId="2" r:id="rId1"/>
    <sheet name="CUSTOS" sheetId="9" r:id="rId2"/>
    <sheet name="ORÇ. vs REAL" sheetId="8" r:id="rId3"/>
    <sheet name="FEIRAS" sheetId="10" r:id="rId4"/>
    <sheet name="TABELAS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0" l="1"/>
  <c r="E5" i="10" a="1"/>
  <c r="E5" i="10" s="1"/>
  <c r="F4" i="10"/>
  <c r="E4" i="10" a="1"/>
  <c r="E4" i="10" s="1"/>
  <c r="G4" i="8"/>
  <c r="G5" i="8"/>
  <c r="E4" i="8"/>
  <c r="F4" i="8" s="1"/>
  <c r="E5" i="8"/>
  <c r="F5" i="8" s="1"/>
  <c r="D4" i="8" a="1"/>
  <c r="D4" i="8" s="1"/>
  <c r="D5" i="8" a="1"/>
  <c r="D5" i="8" s="1"/>
  <c r="H5" i="10" l="1"/>
  <c r="G5" i="10"/>
  <c r="H4" i="10"/>
  <c r="G4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<sst xmlns="http://schemas.openxmlformats.org/spreadsheetml/2006/main" count="75" uniqueCount="69">
  <si>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</si>
  <si>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</si>
  <si>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</si>
  <si>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</si>
  <si>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</si>
  <si>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</si>
  <si>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</si>
  <si>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</si>
  <si>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</si>
  <si>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</si>
  <si>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</si>
  <si>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</si>
  <si>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</si>
  <si>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</si>
  <si>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</si>
  <si>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</si>
  <si>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</si>
  <si>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</si>
  <si>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</si>
  <si>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</si>
  <si>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</si>
  <si>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</si>
  <si>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</si>
  <si>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</si>
  <si>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</si>
  <si>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</si>
  <si>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</si>
  <si>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</si>
  <si>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</si>
  <si>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</si>
  <si>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</si>
  <si>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</si>
  <si>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</si>
  <si>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</si>
  <si>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</si>
  <si>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</si>
  <si>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</si>
  <si>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</si>
  <si>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</si>
  <si>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</si>
  <si>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</si>
  <si>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</si>
  <si>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</si>
  <si>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</si>
  <si>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</si>
  <si>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</si>
  <si>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</si>
  <si>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</si>
  <si>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</si>
  <si>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</si>
  <si>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</si>
  <si>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ORÇAMENTO</t>
  </si>
  <si>
    <t>Mês/Ano</t>
  </si>
  <si>
    <t>CUSTOS</t>
  </si>
  <si>
    <t>Custo</t>
  </si>
  <si>
    <t>ORÇAMENTO vs REAL</t>
  </si>
  <si>
    <t>Categoria</t>
  </si>
  <si>
    <t>Orçado</t>
  </si>
  <si>
    <t>% Utilizado</t>
  </si>
  <si>
    <t>Gasto</t>
  </si>
  <si>
    <t>Valor Orçado</t>
  </si>
  <si>
    <t>FEIRAS</t>
  </si>
  <si>
    <t>SaldO</t>
  </si>
  <si>
    <t>Feira</t>
  </si>
  <si>
    <t>Regional</t>
  </si>
  <si>
    <t>Saldo</t>
  </si>
  <si>
    <t>Retornos</t>
  </si>
  <si>
    <t>Leads</t>
  </si>
  <si>
    <t>Faturamento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</si>
</sst>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82" formatCode="_-&quot;R$&quot;\ * #,##0.000000000_-;\-&quot;R$&quot;\ * #,##0.000000000_-;_-&quot;R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Gill Sans MT"/>
      <family val="2"/>
      <scheme val="major"/>
    </font>
    <font>
      <b/>
      <sz val="11"/>
      <color theme="1"/>
      <name val="Gill Sans MT"/>
      <family val="2"/>
      <scheme val="major"/>
    </font>
    <font>
      <b/>
      <sz val="11"/>
      <name val="Gill Sans MT"/>
      <family val="2"/>
      <scheme val="maj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/>
    <xf numFmtId="0" fontId="0" fillId="3" borderId="0" xfId="0" applyFill="1"/>
    <xf numFmtId="0" fontId="3" fillId="0" borderId="0" xfId="0" applyFont="1"/>
    <xf numFmtId="0" fontId="4" fillId="0" borderId="0" xfId="0" applyFont="1"/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left"/>
      <protection locked="0"/>
    </xf>
    <xf numFmtId="9" fontId="6" fillId="0" borderId="0" xfId="2" applyFont="1" applyAlignment="1" applyProtection="1">
      <alignment vertical="center"/>
      <protection locked="0"/>
    </xf>
    <xf numFmtId="182" fontId="6" fillId="0" borderId="0" xfId="1" applyNumberFormat="1" applyFont="1" applyAlignment="1" applyProtection="1">
      <alignment vertical="center"/>
      <protection locked="0"/>
    </xf>
  </cellXfs>
  <cellStyles count="3">
    <cellStyle name="Moeda" xfId="1" builtinId="4"/>
    <cellStyle name="Normal" xfId="0" builtinId="0"/>
    <cellStyle name="Porcentagem" xfId="2" builtinId="5"/>
  </cellStyles>
  <dxfs count="37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82" formatCode="_-&quot;R$&quot;\ * #,##0.000000000_-;\-&quot;R$&quot;\ * #,##0.000000000_-;_-&quot;R$&quot;\ * &quot;-&quot;??_-;_-@_-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82" formatCode="_-&quot;R$&quot;\ * #,##0.000000000_-;\-&quot;R$&quot;\ * #,##0.000000000_-;_-&quot;R$&quot;\ * &quot;-&quot;??_-;_-@_-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82" formatCode="_-&quot;R$&quot;\ * #,##0.000000000_-;\-&quot;R$&quot;\ * #,##0.000000000_-;_-&quot;R$&quot;\ * &quot;-&quot;??_-;_-@_-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82" formatCode="_-&quot;R$&quot;\ * #,##0.000000000_-;\-&quot;R$&quot;\ * #,##0.000000000_-;_-&quot;R$&quot;\ * &quot;-&quot;??_-;_-@_-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82" formatCode="_-&quot;R$&quot;\ * #,##0.000000000_-;\-&quot;R$&quot;\ * #,##0.000000000_-;_-&quot;R$&quot;\ * &quot;-&quot;??_-;_-@_-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82" formatCode="_-&quot;R$&quot;\ * #,##0.000000000_-;\-&quot;R$&quot;\ * #,##0.000000000_-;_-&quot;R$&quot;\ * &quot;-&quot;??_-;_-@_-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82" formatCode="_-&quot;R$&quot;\ * #,##0.000000000_-;\-&quot;R$&quot;\ * #,##0.000000000_-;_-&quot;R$&quot;\ * &quot;-&quot;??_-;_-@_-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82" formatCode="_-&quot;R$&quot;\ * #,##0.000000000_-;\-&quot;R$&quot;\ * #,##0.000000000_-;_-&quot;R$&quot;\ * &quot;-&quot;??_-;_-@_-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alignment horizontal="general" vertical="center" textRotation="0" wrapText="0" indent="0" justifyLastLine="0" shrinkToFit="0" readingOrder="0"/>
      <protection locked="0" hidden="0"/>
    </dxf>
    <dxf>
      <alignment horizontal="general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general" vertical="center" textRotation="0" wrapText="0" indent="0" justifyLastLine="0" shrinkToFit="0" readingOrder="0"/>
      <protection locked="0" hidden="0"/>
    </dxf>
    <dxf>
      <alignment horizontal="general" vertical="center" textRotation="0" wrapText="0" indent="0" justifyLastLine="0" shrinkToFit="0" readingOrder="0"/>
      <protection locked="0" hidden="0"/>
    </dxf>
    <dxf>
      <alignment horizontal="general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B69F76"/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CUSTOS!A1"/><Relationship Id="rId2" Type="http://schemas.openxmlformats.org/officeDocument/2006/relationships/image" Target="../media/image1.png"/><Relationship Id="rId1" Type="http://schemas.openxmlformats.org/officeDocument/2006/relationships/hyperlink" Target="#'OR&#199;. vs REAL'!A1"/><Relationship Id="rId5" Type="http://schemas.openxmlformats.org/officeDocument/2006/relationships/hyperlink" Target="#FEIRAS!A1"/><Relationship Id="rId4" Type="http://schemas.openxmlformats.org/officeDocument/2006/relationships/hyperlink" Target="#OR&#199;AMENTO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USTOS!A1"/><Relationship Id="rId2" Type="http://schemas.openxmlformats.org/officeDocument/2006/relationships/hyperlink" Target="#'OR&#199;. vs REAL'!A1"/><Relationship Id="rId1" Type="http://schemas.openxmlformats.org/officeDocument/2006/relationships/image" Target="../media/image1.png"/><Relationship Id="rId5" Type="http://schemas.openxmlformats.org/officeDocument/2006/relationships/hyperlink" Target="#FEIRAS!A1"/><Relationship Id="rId4" Type="http://schemas.openxmlformats.org/officeDocument/2006/relationships/hyperlink" Target="#OR&#199;AMENTO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USTOS!A1"/><Relationship Id="rId2" Type="http://schemas.openxmlformats.org/officeDocument/2006/relationships/hyperlink" Target="#'OR&#199;. vs REAL'!A1"/><Relationship Id="rId1" Type="http://schemas.openxmlformats.org/officeDocument/2006/relationships/image" Target="../media/image1.png"/><Relationship Id="rId5" Type="http://schemas.openxmlformats.org/officeDocument/2006/relationships/hyperlink" Target="#FEIRAS!A1"/><Relationship Id="rId4" Type="http://schemas.openxmlformats.org/officeDocument/2006/relationships/hyperlink" Target="#OR&#199;AMENTO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CUSTOS!A1"/><Relationship Id="rId2" Type="http://schemas.openxmlformats.org/officeDocument/2006/relationships/hyperlink" Target="#'OR&#199;. vs REAL'!A1"/><Relationship Id="rId1" Type="http://schemas.openxmlformats.org/officeDocument/2006/relationships/image" Target="../media/image1.png"/><Relationship Id="rId5" Type="http://schemas.openxmlformats.org/officeDocument/2006/relationships/hyperlink" Target="#FEIRAS!A1"/><Relationship Id="rId4" Type="http://schemas.openxmlformats.org/officeDocument/2006/relationships/hyperlink" Target="#OR&#199;AMENT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</xdr:colOff>
      <xdr:row>0</xdr:row>
      <xdr:rowOff>0</xdr:rowOff>
    </xdr:from>
    <xdr:to>
      <xdr:col>0</xdr:col>
      <xdr:colOff>1933575</xdr:colOff>
      <xdr:row>11</xdr:row>
      <xdr:rowOff>25400</xdr:rowOff>
    </xdr:to>
    <xdr:sp macro="" textlink="">
      <xdr:nvSpPr>
        <xdr:cNvPr id="3" name="Retângulo 2" descr="KPI_Orcado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9525" y="0"/>
          <a:ext cx="1924050" cy="2216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n cmpd="tri">
                <a:solidFill>
                  <a:schemeClr val="accent2">
                    <a:lumMod val="50000"/>
                  </a:schemeClr>
                </a:solidFill>
                <a:bevel/>
              </a:ln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2700000" scaled="1"/>
                <a:tileRect/>
              </a:gradFill>
              <a:latin typeface="Gill Sans MT" panose="020B0502020104020203" pitchFamily="34" charset="0"/>
            </a:rPr>
            <a:t>CONTROLE</a:t>
          </a:r>
          <a:r>
            <a:rPr lang="pt-BR" sz="1400" b="1" baseline="0">
              <a:ln cmpd="tri">
                <a:solidFill>
                  <a:schemeClr val="accent2">
                    <a:lumMod val="50000"/>
                  </a:schemeClr>
                </a:solidFill>
                <a:bevel/>
              </a:ln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2700000" scaled="1"/>
                <a:tileRect/>
              </a:gradFill>
              <a:latin typeface="Gill Sans MT" panose="020B0502020104020203" pitchFamily="34" charset="0"/>
            </a:rPr>
            <a:t> ORÇAMENTÁRIO</a:t>
          </a: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2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r>
            <a:rPr lang="pt-BR" sz="1200" b="1" baseline="0">
              <a:ln cmpd="tri">
                <a:solidFill>
                  <a:schemeClr val="accent2">
                    <a:lumMod val="50000"/>
                  </a:schemeClr>
                </a:solidFill>
                <a:bevel/>
              </a:ln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2700000" scaled="1"/>
                <a:tileRect/>
              </a:gradFill>
              <a:latin typeface="Gill Sans MT" panose="020B0502020104020203" pitchFamily="34" charset="0"/>
              <a:ea typeface="+mn-ea"/>
              <a:cs typeface="+mn-cs"/>
            </a:rPr>
            <a:t>TIME</a:t>
          </a:r>
          <a:r>
            <a:rPr lang="pt-BR" sz="1000" b="1" baseline="0">
              <a:ln cmpd="tri">
                <a:solidFill>
                  <a:schemeClr val="accent2">
                    <a:lumMod val="50000"/>
                  </a:schemeClr>
                </a:solidFill>
                <a:bevel/>
              </a:ln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2700000" scaled="1"/>
                <a:tileRect/>
              </a:gradFill>
              <a:latin typeface="Gill Sans MT" panose="020B0502020104020203" pitchFamily="34" charset="0"/>
            </a:rPr>
            <a:t> </a:t>
          </a:r>
          <a:r>
            <a:rPr lang="pt-BR" sz="1200" b="1" baseline="0">
              <a:ln cmpd="tri">
                <a:solidFill>
                  <a:schemeClr val="accent2">
                    <a:lumMod val="50000"/>
                  </a:schemeClr>
                </a:solidFill>
                <a:bevel/>
              </a:ln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2700000" scaled="1"/>
                <a:tileRect/>
              </a:gradFill>
              <a:latin typeface="Gill Sans MT" panose="020B0502020104020203" pitchFamily="34" charset="0"/>
              <a:ea typeface="+mn-ea"/>
              <a:cs typeface="+mn-cs"/>
            </a:rPr>
            <a:t>COMERCIAL</a:t>
          </a:r>
        </a:p>
      </xdr:txBody>
    </xdr:sp>
    <xdr:clientData/>
  </xdr:twoCellAnchor>
  <xdr:twoCellAnchor editAs="absolute">
    <xdr:from>
      <xdr:col>0</xdr:col>
      <xdr:colOff>0</xdr:colOff>
      <xdr:row>16</xdr:row>
      <xdr:rowOff>122728</xdr:rowOff>
    </xdr:from>
    <xdr:to>
      <xdr:col>1</xdr:col>
      <xdr:colOff>7250</xdr:colOff>
      <xdr:row>18</xdr:row>
      <xdr:rowOff>29728</xdr:rowOff>
    </xdr:to>
    <xdr:sp macro="" textlink="">
      <xdr:nvSpPr>
        <xdr:cNvPr id="6" name="Retângulo: Cantos Arredondados 5" descr="KPI_Orca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0" y="3265978"/>
          <a:ext cx="1944000" cy="288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700">
              <a:solidFill>
                <a:schemeClr val="bg1"/>
              </a:solidFill>
              <a:latin typeface="Gill Sans MT" panose="020B0502020104020203" pitchFamily="34" charset="0"/>
              <a:cs typeface="Segoe UI Light" panose="020B0502040204020203" pitchFamily="34" charset="0"/>
            </a:rPr>
            <a:t>ORÇ.</a:t>
          </a:r>
          <a:r>
            <a:rPr lang="pt-BR" sz="1700" baseline="0">
              <a:solidFill>
                <a:schemeClr val="bg1"/>
              </a:solidFill>
              <a:latin typeface="Gill Sans MT" panose="020B0502020104020203" pitchFamily="34" charset="0"/>
              <a:cs typeface="Segoe UI Light" panose="020B0502040204020203" pitchFamily="34" charset="0"/>
            </a:rPr>
            <a:t> vs REAL </a:t>
          </a:r>
          <a:r>
            <a:rPr lang="pt-BR" sz="1700"/>
            <a:t>📊</a:t>
          </a:r>
          <a:endParaRPr lang="pt-BR" sz="1700">
            <a:solidFill>
              <a:schemeClr val="bg1"/>
            </a:solidFill>
            <a:latin typeface="Gill Sans MT" panose="020B05020201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18</xdr:row>
      <xdr:rowOff>122785</xdr:rowOff>
    </xdr:from>
    <xdr:to>
      <xdr:col>0</xdr:col>
      <xdr:colOff>1620000</xdr:colOff>
      <xdr:row>18</xdr:row>
      <xdr:rowOff>122785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0" y="3647035"/>
          <a:ext cx="1620000" cy="0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445565</xdr:colOff>
      <xdr:row>3</xdr:row>
      <xdr:rowOff>74082</xdr:rowOff>
    </xdr:from>
    <xdr:to>
      <xdr:col>0</xdr:col>
      <xdr:colOff>1502840</xdr:colOff>
      <xdr:row>8</xdr:row>
      <xdr:rowOff>112182</xdr:rowOff>
    </xdr:to>
    <xdr:pic>
      <xdr:nvPicPr>
        <xdr:cNvPr id="16" name="Imagem 15" descr="Budget Special Flat icon | Freepik">
          <a:extLst>
            <a:ext uri="{FF2B5EF4-FFF2-40B4-BE49-F238E27FC236}">
              <a16:creationId xmlns:a16="http://schemas.microsoft.com/office/drawing/2014/main" id="{CB06CDEC-0729-5D4D-4A2D-5B8D81C3D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565" y="645582"/>
          <a:ext cx="1057275" cy="105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14</xdr:row>
      <xdr:rowOff>29614</xdr:rowOff>
    </xdr:from>
    <xdr:to>
      <xdr:col>1</xdr:col>
      <xdr:colOff>7250</xdr:colOff>
      <xdr:row>15</xdr:row>
      <xdr:rowOff>127114</xdr:rowOff>
    </xdr:to>
    <xdr:sp macro="" textlink="">
      <xdr:nvSpPr>
        <xdr:cNvPr id="21" name="Retângulo: Cantos Arredondados 20" descr="KPI_Orcad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32E266-71D5-4D45-95FA-F8C3D8B0F336}"/>
            </a:ext>
          </a:extLst>
        </xdr:cNvPr>
        <xdr:cNvSpPr/>
      </xdr:nvSpPr>
      <xdr:spPr>
        <a:xfrm>
          <a:off x="0" y="2791864"/>
          <a:ext cx="1944000" cy="288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700">
              <a:solidFill>
                <a:schemeClr val="bg1"/>
              </a:solidFill>
              <a:latin typeface="Gill Sans MT" panose="020B0502020104020203" pitchFamily="34" charset="0"/>
              <a:cs typeface="Segoe UI Light" panose="020B0502040204020203" pitchFamily="34" charset="0"/>
            </a:rPr>
            <a:t>CUSTOS </a:t>
          </a:r>
          <a:r>
            <a:rPr lang="pt-BR" sz="1700"/>
            <a:t>💸</a:t>
          </a:r>
          <a:endParaRPr lang="pt-BR" sz="1700">
            <a:solidFill>
              <a:schemeClr val="bg1"/>
            </a:solidFill>
            <a:latin typeface="Gill Sans MT" panose="020B0502020104020203" pitchFamily="34" charset="0"/>
            <a:cs typeface="Segoe UI Light" panose="020B0502040204020203" pitchFamily="34" charset="0"/>
          </a:endParaRPr>
        </a:p>
        <a:p>
          <a:pPr algn="l"/>
          <a:endParaRPr lang="pt-BR" sz="1700">
            <a:solidFill>
              <a:schemeClr val="bg1"/>
            </a:solidFill>
            <a:latin typeface="Gill Sans MT" panose="020B05020201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16</xdr:row>
      <xdr:rowOff>29671</xdr:rowOff>
    </xdr:from>
    <xdr:to>
      <xdr:col>0</xdr:col>
      <xdr:colOff>1620000</xdr:colOff>
      <xdr:row>16</xdr:row>
      <xdr:rowOff>29671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F1BBFDE6-BB23-462A-928B-B7C8A8511787}"/>
            </a:ext>
          </a:extLst>
        </xdr:cNvPr>
        <xdr:cNvCxnSpPr/>
      </xdr:nvCxnSpPr>
      <xdr:spPr>
        <a:xfrm>
          <a:off x="0" y="3172921"/>
          <a:ext cx="1620000" cy="0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</xdr:colOff>
      <xdr:row>11</xdr:row>
      <xdr:rowOff>127000</xdr:rowOff>
    </xdr:from>
    <xdr:to>
      <xdr:col>1</xdr:col>
      <xdr:colOff>7251</xdr:colOff>
      <xdr:row>13</xdr:row>
      <xdr:rowOff>34000</xdr:rowOff>
    </xdr:to>
    <xdr:sp macro="" textlink="">
      <xdr:nvSpPr>
        <xdr:cNvPr id="23" name="Retângulo: Cantos Arredondados 22" descr="KPI_Orcad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2518AA4-24F5-4E11-8AB8-5F7E32FE645A}"/>
            </a:ext>
          </a:extLst>
        </xdr:cNvPr>
        <xdr:cNvSpPr/>
      </xdr:nvSpPr>
      <xdr:spPr>
        <a:xfrm>
          <a:off x="1" y="2317750"/>
          <a:ext cx="1944000" cy="288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700">
              <a:solidFill>
                <a:schemeClr val="bg1"/>
              </a:solidFill>
              <a:latin typeface="Gill Sans MT" panose="020B0502020104020203" pitchFamily="34" charset="0"/>
              <a:cs typeface="Segoe UI Light" panose="020B0502040204020203" pitchFamily="34" charset="0"/>
            </a:rPr>
            <a:t>ORÇAMENTO </a:t>
          </a:r>
          <a:r>
            <a:rPr lang="pt-BR" sz="1700"/>
            <a:t>💰</a:t>
          </a:r>
          <a:endParaRPr lang="pt-BR" sz="1700">
            <a:solidFill>
              <a:schemeClr val="bg1"/>
            </a:solidFill>
            <a:latin typeface="Gill Sans MT" panose="020B05020201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13</xdr:row>
      <xdr:rowOff>127057</xdr:rowOff>
    </xdr:from>
    <xdr:to>
      <xdr:col>0</xdr:col>
      <xdr:colOff>1620000</xdr:colOff>
      <xdr:row>13</xdr:row>
      <xdr:rowOff>127057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AB1F1765-6ADD-432A-8487-B9AA9EE22995}"/>
            </a:ext>
          </a:extLst>
        </xdr:cNvPr>
        <xdr:cNvCxnSpPr/>
      </xdr:nvCxnSpPr>
      <xdr:spPr>
        <a:xfrm>
          <a:off x="0" y="2698807"/>
          <a:ext cx="1620000" cy="0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19</xdr:row>
      <xdr:rowOff>25342</xdr:rowOff>
    </xdr:from>
    <xdr:to>
      <xdr:col>1</xdr:col>
      <xdr:colOff>7250</xdr:colOff>
      <xdr:row>20</xdr:row>
      <xdr:rowOff>122842</xdr:rowOff>
    </xdr:to>
    <xdr:sp macro="" textlink="">
      <xdr:nvSpPr>
        <xdr:cNvPr id="25" name="Retângulo: Cantos Arredondados 24" descr="KPI_Orcad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8B62B69-9024-4231-9EC8-AEBF5BCC6024}"/>
            </a:ext>
          </a:extLst>
        </xdr:cNvPr>
        <xdr:cNvSpPr/>
      </xdr:nvSpPr>
      <xdr:spPr>
        <a:xfrm>
          <a:off x="0" y="3740092"/>
          <a:ext cx="1944000" cy="288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pt-BR" sz="1700">
              <a:solidFill>
                <a:schemeClr val="bg1"/>
              </a:solidFill>
              <a:latin typeface="Gill Sans MT" panose="020B0502020104020203" pitchFamily="34" charset="0"/>
              <a:cs typeface="Segoe UI Light" panose="020B0502040204020203" pitchFamily="34" charset="0"/>
            </a:rPr>
            <a:t>FEIRAS</a:t>
          </a:r>
          <a:r>
            <a:rPr lang="pt-BR" sz="1700"/>
            <a:t>🤝</a:t>
          </a:r>
        </a:p>
        <a:p>
          <a:pPr algn="l"/>
          <a:endParaRPr lang="pt-BR" sz="1700">
            <a:solidFill>
              <a:schemeClr val="bg1"/>
            </a:solidFill>
            <a:latin typeface="Gill Sans MT" panose="020B05020201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21</xdr:row>
      <xdr:rowOff>25400</xdr:rowOff>
    </xdr:from>
    <xdr:to>
      <xdr:col>0</xdr:col>
      <xdr:colOff>1620000</xdr:colOff>
      <xdr:row>21</xdr:row>
      <xdr:rowOff>25400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628DD9E4-0DB5-4F7F-82C5-43A6500062E8}"/>
            </a:ext>
          </a:extLst>
        </xdr:cNvPr>
        <xdr:cNvCxnSpPr/>
      </xdr:nvCxnSpPr>
      <xdr:spPr>
        <a:xfrm>
          <a:off x="0" y="4121150"/>
          <a:ext cx="1620000" cy="0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</xdr:colOff>
      <xdr:row>0</xdr:row>
      <xdr:rowOff>0</xdr:rowOff>
    </xdr:from>
    <xdr:to>
      <xdr:col>0</xdr:col>
      <xdr:colOff>1933575</xdr:colOff>
      <xdr:row>11</xdr:row>
      <xdr:rowOff>25400</xdr:rowOff>
    </xdr:to>
    <xdr:sp macro="" textlink="">
      <xdr:nvSpPr>
        <xdr:cNvPr id="2" name="Retângulo 1" descr="KPI_Orcado">
          <a:extLst>
            <a:ext uri="{FF2B5EF4-FFF2-40B4-BE49-F238E27FC236}">
              <a16:creationId xmlns:a16="http://schemas.microsoft.com/office/drawing/2014/main" id="{FB496F32-4D3A-446A-BBDF-CE7DFC74E2DE}"/>
            </a:ext>
          </a:extLst>
        </xdr:cNvPr>
        <xdr:cNvSpPr/>
      </xdr:nvSpPr>
      <xdr:spPr>
        <a:xfrm>
          <a:off x="9525" y="0"/>
          <a:ext cx="1924050" cy="2216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n cmpd="tri">
                <a:solidFill>
                  <a:schemeClr val="accent2">
                    <a:lumMod val="50000"/>
                  </a:schemeClr>
                </a:solidFill>
                <a:bevel/>
              </a:ln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2700000" scaled="1"/>
                <a:tileRect/>
              </a:gradFill>
              <a:latin typeface="Gill Sans MT" panose="020B0502020104020203" pitchFamily="34" charset="0"/>
            </a:rPr>
            <a:t>CONTROLE</a:t>
          </a:r>
          <a:r>
            <a:rPr lang="pt-BR" sz="1400" b="1" baseline="0">
              <a:ln cmpd="tri">
                <a:solidFill>
                  <a:schemeClr val="accent2">
                    <a:lumMod val="50000"/>
                  </a:schemeClr>
                </a:solidFill>
                <a:bevel/>
              </a:ln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2700000" scaled="1"/>
                <a:tileRect/>
              </a:gradFill>
              <a:latin typeface="Gill Sans MT" panose="020B0502020104020203" pitchFamily="34" charset="0"/>
            </a:rPr>
            <a:t> ORÇAMENTÁRIO</a:t>
          </a: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2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r>
            <a:rPr lang="pt-BR" sz="1200" b="1" baseline="0">
              <a:ln cmpd="tri">
                <a:solidFill>
                  <a:schemeClr val="accent2">
                    <a:lumMod val="50000"/>
                  </a:schemeClr>
                </a:solidFill>
                <a:bevel/>
              </a:ln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2700000" scaled="1"/>
                <a:tileRect/>
              </a:gradFill>
              <a:latin typeface="Gill Sans MT" panose="020B0502020104020203" pitchFamily="34" charset="0"/>
              <a:ea typeface="+mn-ea"/>
              <a:cs typeface="+mn-cs"/>
            </a:rPr>
            <a:t>TIME</a:t>
          </a:r>
          <a:r>
            <a:rPr lang="pt-BR" sz="1000" b="1" baseline="0">
              <a:ln cmpd="tri">
                <a:solidFill>
                  <a:schemeClr val="accent2">
                    <a:lumMod val="50000"/>
                  </a:schemeClr>
                </a:solidFill>
                <a:bevel/>
              </a:ln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2700000" scaled="1"/>
                <a:tileRect/>
              </a:gradFill>
              <a:latin typeface="Gill Sans MT" panose="020B0502020104020203" pitchFamily="34" charset="0"/>
            </a:rPr>
            <a:t> </a:t>
          </a:r>
          <a:r>
            <a:rPr lang="pt-BR" sz="1200" b="1" baseline="0">
              <a:ln cmpd="tri">
                <a:solidFill>
                  <a:schemeClr val="accent2">
                    <a:lumMod val="50000"/>
                  </a:schemeClr>
                </a:solidFill>
                <a:bevel/>
              </a:ln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2700000" scaled="1"/>
                <a:tileRect/>
              </a:gradFill>
              <a:latin typeface="Gill Sans MT" panose="020B0502020104020203" pitchFamily="34" charset="0"/>
              <a:ea typeface="+mn-ea"/>
              <a:cs typeface="+mn-cs"/>
            </a:rPr>
            <a:t>COMERCIAL</a:t>
          </a:r>
        </a:p>
      </xdr:txBody>
    </xdr:sp>
    <xdr:clientData/>
  </xdr:twoCellAnchor>
  <xdr:twoCellAnchor editAs="oneCell">
    <xdr:from>
      <xdr:col>0</xdr:col>
      <xdr:colOff>445565</xdr:colOff>
      <xdr:row>3</xdr:row>
      <xdr:rowOff>74082</xdr:rowOff>
    </xdr:from>
    <xdr:to>
      <xdr:col>0</xdr:col>
      <xdr:colOff>1502840</xdr:colOff>
      <xdr:row>8</xdr:row>
      <xdr:rowOff>112182</xdr:rowOff>
    </xdr:to>
    <xdr:pic>
      <xdr:nvPicPr>
        <xdr:cNvPr id="5" name="Imagem 4" descr="Budget Special Flat icon | Freepik">
          <a:extLst>
            <a:ext uri="{FF2B5EF4-FFF2-40B4-BE49-F238E27FC236}">
              <a16:creationId xmlns:a16="http://schemas.microsoft.com/office/drawing/2014/main" id="{80656EBE-F675-49C8-828E-63F73394F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565" y="674157"/>
          <a:ext cx="10572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</xdr:row>
      <xdr:rowOff>124749</xdr:rowOff>
    </xdr:from>
    <xdr:to>
      <xdr:col>1</xdr:col>
      <xdr:colOff>7250</xdr:colOff>
      <xdr:row>21</xdr:row>
      <xdr:rowOff>23149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1B76A967-8DF4-DDF0-8BAD-F124898768B0}"/>
            </a:ext>
          </a:extLst>
        </xdr:cNvPr>
        <xdr:cNvGrpSpPr/>
      </xdr:nvGrpSpPr>
      <xdr:grpSpPr>
        <a:xfrm>
          <a:off x="0" y="2315499"/>
          <a:ext cx="1944000" cy="1803400"/>
          <a:chOff x="0" y="2304916"/>
          <a:chExt cx="1944000" cy="1803400"/>
        </a:xfrm>
      </xdr:grpSpPr>
      <xdr:sp macro="" textlink="">
        <xdr:nvSpPr>
          <xdr:cNvPr id="25" name="Retângulo: Cantos Arredondados 24" descr="KPI_Orcado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D3C5058-6951-4439-BA4C-C410739F743E}"/>
              </a:ext>
            </a:extLst>
          </xdr:cNvPr>
          <xdr:cNvSpPr/>
        </xdr:nvSpPr>
        <xdr:spPr>
          <a:xfrm>
            <a:off x="0" y="3253144"/>
            <a:ext cx="1944000" cy="28800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700">
                <a:solidFill>
                  <a:schemeClr val="bg1"/>
                </a:solidFill>
                <a:latin typeface="Gill Sans MT" panose="020B0502020104020203" pitchFamily="34" charset="0"/>
                <a:cs typeface="Segoe UI Light" panose="020B0502040204020203" pitchFamily="34" charset="0"/>
              </a:rPr>
              <a:t>ORÇ.</a:t>
            </a:r>
            <a:r>
              <a:rPr lang="pt-BR" sz="1700" baseline="0">
                <a:solidFill>
                  <a:schemeClr val="bg1"/>
                </a:solidFill>
                <a:latin typeface="Gill Sans MT" panose="020B0502020104020203" pitchFamily="34" charset="0"/>
                <a:cs typeface="Segoe UI Light" panose="020B0502040204020203" pitchFamily="34" charset="0"/>
              </a:rPr>
              <a:t> vs REAL </a:t>
            </a:r>
            <a:r>
              <a:rPr lang="pt-BR" sz="1700"/>
              <a:t>📊</a:t>
            </a:r>
            <a:endParaRPr lang="pt-BR" sz="1700">
              <a:solidFill>
                <a:schemeClr val="bg1"/>
              </a:solidFill>
              <a:latin typeface="Gill Sans MT" panose="020B0502020104020203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26" name="Conector reto 25">
            <a:extLst>
              <a:ext uri="{FF2B5EF4-FFF2-40B4-BE49-F238E27FC236}">
                <a16:creationId xmlns:a16="http://schemas.microsoft.com/office/drawing/2014/main" id="{BFB26FCD-4AAB-4748-A679-046C832F3CCE}"/>
              </a:ext>
            </a:extLst>
          </xdr:cNvPr>
          <xdr:cNvCxnSpPr/>
        </xdr:nvCxnSpPr>
        <xdr:spPr>
          <a:xfrm>
            <a:off x="0" y="3634201"/>
            <a:ext cx="1620000" cy="0"/>
          </a:xfrm>
          <a:prstGeom prst="line">
            <a:avLst/>
          </a:prstGeom>
          <a:ln/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7" name="Retângulo: Cantos Arredondados 26" descr="KPI_Orcado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030E79E-4D51-4EE9-A579-D30B0211F4AF}"/>
              </a:ext>
            </a:extLst>
          </xdr:cNvPr>
          <xdr:cNvSpPr/>
        </xdr:nvSpPr>
        <xdr:spPr>
          <a:xfrm>
            <a:off x="0" y="2779030"/>
            <a:ext cx="1944000" cy="28800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700">
                <a:solidFill>
                  <a:schemeClr val="bg1"/>
                </a:solidFill>
                <a:latin typeface="Gill Sans MT" panose="020B0502020104020203" pitchFamily="34" charset="0"/>
                <a:cs typeface="Segoe UI Light" panose="020B0502040204020203" pitchFamily="34" charset="0"/>
              </a:rPr>
              <a:t>CUSTOS </a:t>
            </a:r>
            <a:r>
              <a:rPr lang="pt-BR" sz="1700"/>
              <a:t>💸</a:t>
            </a:r>
            <a:endParaRPr lang="pt-BR" sz="1700">
              <a:solidFill>
                <a:schemeClr val="bg1"/>
              </a:solidFill>
              <a:latin typeface="Gill Sans MT" panose="020B0502020104020203" pitchFamily="34" charset="0"/>
              <a:cs typeface="Segoe UI Light" panose="020B0502040204020203" pitchFamily="34" charset="0"/>
            </a:endParaRPr>
          </a:p>
          <a:p>
            <a:pPr algn="l"/>
            <a:endParaRPr lang="pt-BR" sz="1700">
              <a:solidFill>
                <a:schemeClr val="bg1"/>
              </a:solidFill>
              <a:latin typeface="Gill Sans MT" panose="020B0502020104020203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28" name="Conector reto 27">
            <a:extLst>
              <a:ext uri="{FF2B5EF4-FFF2-40B4-BE49-F238E27FC236}">
                <a16:creationId xmlns:a16="http://schemas.microsoft.com/office/drawing/2014/main" id="{F9BAEAA1-7AF0-479A-87DE-F1842C647DB6}"/>
              </a:ext>
            </a:extLst>
          </xdr:cNvPr>
          <xdr:cNvCxnSpPr/>
        </xdr:nvCxnSpPr>
        <xdr:spPr>
          <a:xfrm>
            <a:off x="0" y="3160087"/>
            <a:ext cx="1620000" cy="0"/>
          </a:xfrm>
          <a:prstGeom prst="line">
            <a:avLst/>
          </a:prstGeom>
          <a:ln/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9" name="Retângulo: Cantos Arredondados 28" descr="KPI_Orca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43154CA6-E1B9-450C-AF56-E9A7AA7DE4AF}"/>
              </a:ext>
            </a:extLst>
          </xdr:cNvPr>
          <xdr:cNvSpPr/>
        </xdr:nvSpPr>
        <xdr:spPr>
          <a:xfrm>
            <a:off x="0" y="2304916"/>
            <a:ext cx="1944000" cy="28800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700">
                <a:solidFill>
                  <a:schemeClr val="bg1"/>
                </a:solidFill>
                <a:latin typeface="Gill Sans MT" panose="020B0502020104020203" pitchFamily="34" charset="0"/>
                <a:cs typeface="Segoe UI Light" panose="020B0502040204020203" pitchFamily="34" charset="0"/>
              </a:rPr>
              <a:t>ORÇAMENTO </a:t>
            </a:r>
            <a:r>
              <a:rPr lang="pt-BR" sz="1700"/>
              <a:t>💰</a:t>
            </a:r>
            <a:endParaRPr lang="pt-BR" sz="1700">
              <a:solidFill>
                <a:schemeClr val="bg1"/>
              </a:solidFill>
              <a:latin typeface="Gill Sans MT" panose="020B0502020104020203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30" name="Conector reto 29">
            <a:extLst>
              <a:ext uri="{FF2B5EF4-FFF2-40B4-BE49-F238E27FC236}">
                <a16:creationId xmlns:a16="http://schemas.microsoft.com/office/drawing/2014/main" id="{3203AAEA-5BD9-4A8B-8D02-410B65EBBD4D}"/>
              </a:ext>
            </a:extLst>
          </xdr:cNvPr>
          <xdr:cNvCxnSpPr/>
        </xdr:nvCxnSpPr>
        <xdr:spPr>
          <a:xfrm>
            <a:off x="0" y="2685973"/>
            <a:ext cx="1620000" cy="0"/>
          </a:xfrm>
          <a:prstGeom prst="line">
            <a:avLst/>
          </a:prstGeom>
          <a:ln/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1" name="Retângulo: Cantos Arredondados 30" descr="KPI_Orcado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8E9F9654-5CD6-4EF8-AA1B-9F49E5B0DC8D}"/>
              </a:ext>
            </a:extLst>
          </xdr:cNvPr>
          <xdr:cNvSpPr/>
        </xdr:nvSpPr>
        <xdr:spPr>
          <a:xfrm>
            <a:off x="0" y="3727258"/>
            <a:ext cx="1944000" cy="28800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r>
              <a:rPr lang="pt-BR" sz="1700">
                <a:solidFill>
                  <a:schemeClr val="bg1"/>
                </a:solidFill>
                <a:latin typeface="Gill Sans MT" panose="020B0502020104020203" pitchFamily="34" charset="0"/>
                <a:cs typeface="Segoe UI Light" panose="020B0502040204020203" pitchFamily="34" charset="0"/>
              </a:rPr>
              <a:t>FEIRAS</a:t>
            </a:r>
            <a:r>
              <a:rPr lang="pt-BR" sz="1700"/>
              <a:t>🤝</a:t>
            </a:r>
          </a:p>
          <a:p>
            <a:pPr algn="l"/>
            <a:endParaRPr lang="pt-BR" sz="1700">
              <a:solidFill>
                <a:schemeClr val="bg1"/>
              </a:solidFill>
              <a:latin typeface="Gill Sans MT" panose="020B0502020104020203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32" name="Conector reto 31">
            <a:extLst>
              <a:ext uri="{FF2B5EF4-FFF2-40B4-BE49-F238E27FC236}">
                <a16:creationId xmlns:a16="http://schemas.microsoft.com/office/drawing/2014/main" id="{51AFD043-BB68-43B8-BDC3-CED0E6A3F067}"/>
              </a:ext>
            </a:extLst>
          </xdr:cNvPr>
          <xdr:cNvCxnSpPr/>
        </xdr:nvCxnSpPr>
        <xdr:spPr>
          <a:xfrm>
            <a:off x="0" y="4108316"/>
            <a:ext cx="1620000" cy="0"/>
          </a:xfrm>
          <a:prstGeom prst="line">
            <a:avLst/>
          </a:prstGeom>
          <a:ln/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</xdr:colOff>
      <xdr:row>0</xdr:row>
      <xdr:rowOff>0</xdr:rowOff>
    </xdr:from>
    <xdr:to>
      <xdr:col>0</xdr:col>
      <xdr:colOff>1933575</xdr:colOff>
      <xdr:row>11</xdr:row>
      <xdr:rowOff>25400</xdr:rowOff>
    </xdr:to>
    <xdr:sp macro="" textlink="">
      <xdr:nvSpPr>
        <xdr:cNvPr id="2" name="Retângulo 1" descr="KPI_Orcado">
          <a:extLst>
            <a:ext uri="{FF2B5EF4-FFF2-40B4-BE49-F238E27FC236}">
              <a16:creationId xmlns:a16="http://schemas.microsoft.com/office/drawing/2014/main" id="{6808DB3D-A411-480E-AD7D-F0E4DA5A68B2}"/>
            </a:ext>
          </a:extLst>
        </xdr:cNvPr>
        <xdr:cNvSpPr/>
      </xdr:nvSpPr>
      <xdr:spPr>
        <a:xfrm>
          <a:off x="9525" y="0"/>
          <a:ext cx="1924050" cy="2216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n cmpd="tri">
                <a:solidFill>
                  <a:schemeClr val="accent2">
                    <a:lumMod val="50000"/>
                  </a:schemeClr>
                </a:solidFill>
                <a:bevel/>
              </a:ln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2700000" scaled="1"/>
                <a:tileRect/>
              </a:gradFill>
              <a:latin typeface="Gill Sans MT" panose="020B0502020104020203" pitchFamily="34" charset="0"/>
            </a:rPr>
            <a:t>CONTROLE</a:t>
          </a:r>
          <a:r>
            <a:rPr lang="pt-BR" sz="1400" b="1" baseline="0">
              <a:ln cmpd="tri">
                <a:solidFill>
                  <a:schemeClr val="accent2">
                    <a:lumMod val="50000"/>
                  </a:schemeClr>
                </a:solidFill>
                <a:bevel/>
              </a:ln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2700000" scaled="1"/>
                <a:tileRect/>
              </a:gradFill>
              <a:latin typeface="Gill Sans MT" panose="020B0502020104020203" pitchFamily="34" charset="0"/>
            </a:rPr>
            <a:t> ORÇAMENTÁRIO</a:t>
          </a: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2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r>
            <a:rPr lang="pt-BR" sz="1200" b="1" baseline="0">
              <a:ln cmpd="tri">
                <a:solidFill>
                  <a:schemeClr val="accent2">
                    <a:lumMod val="50000"/>
                  </a:schemeClr>
                </a:solidFill>
                <a:bevel/>
              </a:ln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2700000" scaled="1"/>
                <a:tileRect/>
              </a:gradFill>
              <a:latin typeface="Gill Sans MT" panose="020B0502020104020203" pitchFamily="34" charset="0"/>
              <a:ea typeface="+mn-ea"/>
              <a:cs typeface="+mn-cs"/>
            </a:rPr>
            <a:t>TIME</a:t>
          </a:r>
          <a:r>
            <a:rPr lang="pt-BR" sz="1000" b="1" baseline="0">
              <a:ln cmpd="tri">
                <a:solidFill>
                  <a:schemeClr val="accent2">
                    <a:lumMod val="50000"/>
                  </a:schemeClr>
                </a:solidFill>
                <a:bevel/>
              </a:ln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2700000" scaled="1"/>
                <a:tileRect/>
              </a:gradFill>
              <a:latin typeface="Gill Sans MT" panose="020B0502020104020203" pitchFamily="34" charset="0"/>
            </a:rPr>
            <a:t> </a:t>
          </a:r>
          <a:r>
            <a:rPr lang="pt-BR" sz="1200" b="1" baseline="0">
              <a:ln cmpd="tri">
                <a:solidFill>
                  <a:schemeClr val="accent2">
                    <a:lumMod val="50000"/>
                  </a:schemeClr>
                </a:solidFill>
                <a:bevel/>
              </a:ln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2700000" scaled="1"/>
                <a:tileRect/>
              </a:gradFill>
              <a:latin typeface="Gill Sans MT" panose="020B0502020104020203" pitchFamily="34" charset="0"/>
              <a:ea typeface="+mn-ea"/>
              <a:cs typeface="+mn-cs"/>
            </a:rPr>
            <a:t>COMERCIAL</a:t>
          </a:r>
        </a:p>
      </xdr:txBody>
    </xdr:sp>
    <xdr:clientData/>
  </xdr:twoCellAnchor>
  <xdr:twoCellAnchor editAs="oneCell">
    <xdr:from>
      <xdr:col>0</xdr:col>
      <xdr:colOff>445565</xdr:colOff>
      <xdr:row>3</xdr:row>
      <xdr:rowOff>74082</xdr:rowOff>
    </xdr:from>
    <xdr:to>
      <xdr:col>0</xdr:col>
      <xdr:colOff>1502840</xdr:colOff>
      <xdr:row>8</xdr:row>
      <xdr:rowOff>112182</xdr:rowOff>
    </xdr:to>
    <xdr:pic>
      <xdr:nvPicPr>
        <xdr:cNvPr id="5" name="Imagem 4" descr="Budget Special Flat icon | Freepik">
          <a:extLst>
            <a:ext uri="{FF2B5EF4-FFF2-40B4-BE49-F238E27FC236}">
              <a16:creationId xmlns:a16="http://schemas.microsoft.com/office/drawing/2014/main" id="{5164218B-DE43-455F-9329-1C21BC5E7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565" y="674157"/>
          <a:ext cx="10572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</xdr:row>
      <xdr:rowOff>126996</xdr:rowOff>
    </xdr:from>
    <xdr:to>
      <xdr:col>1</xdr:col>
      <xdr:colOff>7250</xdr:colOff>
      <xdr:row>21</xdr:row>
      <xdr:rowOff>25396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8C6F7954-C299-4C81-BFEB-3E8E218A0690}"/>
            </a:ext>
          </a:extLst>
        </xdr:cNvPr>
        <xdr:cNvGrpSpPr/>
      </xdr:nvGrpSpPr>
      <xdr:grpSpPr>
        <a:xfrm>
          <a:off x="0" y="2317746"/>
          <a:ext cx="1944000" cy="1803400"/>
          <a:chOff x="0" y="2304916"/>
          <a:chExt cx="1944000" cy="1803400"/>
        </a:xfrm>
      </xdr:grpSpPr>
      <xdr:sp macro="" textlink="">
        <xdr:nvSpPr>
          <xdr:cNvPr id="23" name="Retângulo: Cantos Arredondados 22" descr="KPI_Orcado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BF421836-A500-AB14-7787-438B13DAE7F7}"/>
              </a:ext>
            </a:extLst>
          </xdr:cNvPr>
          <xdr:cNvSpPr/>
        </xdr:nvSpPr>
        <xdr:spPr>
          <a:xfrm>
            <a:off x="0" y="3253144"/>
            <a:ext cx="1944000" cy="28800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700">
                <a:solidFill>
                  <a:schemeClr val="bg1"/>
                </a:solidFill>
                <a:latin typeface="Gill Sans MT" panose="020B0502020104020203" pitchFamily="34" charset="0"/>
                <a:cs typeface="Segoe UI Light" panose="020B0502040204020203" pitchFamily="34" charset="0"/>
              </a:rPr>
              <a:t>ORÇ.</a:t>
            </a:r>
            <a:r>
              <a:rPr lang="pt-BR" sz="1700" baseline="0">
                <a:solidFill>
                  <a:schemeClr val="bg1"/>
                </a:solidFill>
                <a:latin typeface="Gill Sans MT" panose="020B0502020104020203" pitchFamily="34" charset="0"/>
                <a:cs typeface="Segoe UI Light" panose="020B0502040204020203" pitchFamily="34" charset="0"/>
              </a:rPr>
              <a:t> vs REAL </a:t>
            </a:r>
            <a:r>
              <a:rPr lang="pt-BR" sz="1700"/>
              <a:t>📊</a:t>
            </a:r>
            <a:endParaRPr lang="pt-BR" sz="1700">
              <a:solidFill>
                <a:schemeClr val="bg1"/>
              </a:solidFill>
              <a:latin typeface="Gill Sans MT" panose="020B0502020104020203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24" name="Conector reto 23">
            <a:extLst>
              <a:ext uri="{FF2B5EF4-FFF2-40B4-BE49-F238E27FC236}">
                <a16:creationId xmlns:a16="http://schemas.microsoft.com/office/drawing/2014/main" id="{A2822EB2-5906-9567-8019-5A047116CF28}"/>
              </a:ext>
            </a:extLst>
          </xdr:cNvPr>
          <xdr:cNvCxnSpPr/>
        </xdr:nvCxnSpPr>
        <xdr:spPr>
          <a:xfrm>
            <a:off x="0" y="3634201"/>
            <a:ext cx="1620000" cy="0"/>
          </a:xfrm>
          <a:prstGeom prst="line">
            <a:avLst/>
          </a:prstGeom>
          <a:ln/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5" name="Retângulo: Cantos Arredondados 24" descr="KPI_Orcado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DBC510C8-F27B-388D-D1CF-A5A25F6AA046}"/>
              </a:ext>
            </a:extLst>
          </xdr:cNvPr>
          <xdr:cNvSpPr/>
        </xdr:nvSpPr>
        <xdr:spPr>
          <a:xfrm>
            <a:off x="0" y="2779030"/>
            <a:ext cx="1944000" cy="28800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700">
                <a:solidFill>
                  <a:schemeClr val="bg1"/>
                </a:solidFill>
                <a:latin typeface="Gill Sans MT" panose="020B0502020104020203" pitchFamily="34" charset="0"/>
                <a:cs typeface="Segoe UI Light" panose="020B0502040204020203" pitchFamily="34" charset="0"/>
              </a:rPr>
              <a:t>CUSTOS </a:t>
            </a:r>
            <a:r>
              <a:rPr lang="pt-BR" sz="1700"/>
              <a:t>💸</a:t>
            </a:r>
            <a:endParaRPr lang="pt-BR" sz="1700">
              <a:solidFill>
                <a:schemeClr val="bg1"/>
              </a:solidFill>
              <a:latin typeface="Gill Sans MT" panose="020B0502020104020203" pitchFamily="34" charset="0"/>
              <a:cs typeface="Segoe UI Light" panose="020B0502040204020203" pitchFamily="34" charset="0"/>
            </a:endParaRPr>
          </a:p>
          <a:p>
            <a:pPr algn="l"/>
            <a:endParaRPr lang="pt-BR" sz="1700">
              <a:solidFill>
                <a:schemeClr val="bg1"/>
              </a:solidFill>
              <a:latin typeface="Gill Sans MT" panose="020B0502020104020203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26" name="Conector reto 25">
            <a:extLst>
              <a:ext uri="{FF2B5EF4-FFF2-40B4-BE49-F238E27FC236}">
                <a16:creationId xmlns:a16="http://schemas.microsoft.com/office/drawing/2014/main" id="{016F23E5-AD23-4FDB-F6D1-BF914D8E3FEB}"/>
              </a:ext>
            </a:extLst>
          </xdr:cNvPr>
          <xdr:cNvCxnSpPr/>
        </xdr:nvCxnSpPr>
        <xdr:spPr>
          <a:xfrm>
            <a:off x="0" y="3160087"/>
            <a:ext cx="1620000" cy="0"/>
          </a:xfrm>
          <a:prstGeom prst="line">
            <a:avLst/>
          </a:prstGeom>
          <a:ln/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7" name="Retângulo: Cantos Arredondados 26" descr="KPI_Orca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1DE606EE-F731-61EA-B06F-9BAF708ABBE4}"/>
              </a:ext>
            </a:extLst>
          </xdr:cNvPr>
          <xdr:cNvSpPr/>
        </xdr:nvSpPr>
        <xdr:spPr>
          <a:xfrm>
            <a:off x="0" y="2304916"/>
            <a:ext cx="1944000" cy="28800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700">
                <a:solidFill>
                  <a:schemeClr val="bg1"/>
                </a:solidFill>
                <a:latin typeface="Gill Sans MT" panose="020B0502020104020203" pitchFamily="34" charset="0"/>
                <a:cs typeface="Segoe UI Light" panose="020B0502040204020203" pitchFamily="34" charset="0"/>
              </a:rPr>
              <a:t>ORÇAMENTO </a:t>
            </a:r>
            <a:r>
              <a:rPr lang="pt-BR" sz="1700"/>
              <a:t>💰</a:t>
            </a:r>
            <a:endParaRPr lang="pt-BR" sz="1700">
              <a:solidFill>
                <a:schemeClr val="bg1"/>
              </a:solidFill>
              <a:latin typeface="Gill Sans MT" panose="020B0502020104020203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28" name="Conector reto 27">
            <a:extLst>
              <a:ext uri="{FF2B5EF4-FFF2-40B4-BE49-F238E27FC236}">
                <a16:creationId xmlns:a16="http://schemas.microsoft.com/office/drawing/2014/main" id="{FDC6DCAE-B1B2-F6D0-3328-AC353710B23E}"/>
              </a:ext>
            </a:extLst>
          </xdr:cNvPr>
          <xdr:cNvCxnSpPr/>
        </xdr:nvCxnSpPr>
        <xdr:spPr>
          <a:xfrm>
            <a:off x="0" y="2685973"/>
            <a:ext cx="1620000" cy="0"/>
          </a:xfrm>
          <a:prstGeom prst="line">
            <a:avLst/>
          </a:prstGeom>
          <a:ln/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9" name="Retângulo: Cantos Arredondados 28" descr="KPI_Orcado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5A040F9-F67A-917F-7357-032E0C4D48A9}"/>
              </a:ext>
            </a:extLst>
          </xdr:cNvPr>
          <xdr:cNvSpPr/>
        </xdr:nvSpPr>
        <xdr:spPr>
          <a:xfrm>
            <a:off x="0" y="3727258"/>
            <a:ext cx="1944000" cy="28800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r>
              <a:rPr lang="pt-BR" sz="1700">
                <a:solidFill>
                  <a:schemeClr val="bg1"/>
                </a:solidFill>
                <a:latin typeface="Gill Sans MT" panose="020B0502020104020203" pitchFamily="34" charset="0"/>
                <a:cs typeface="Segoe UI Light" panose="020B0502040204020203" pitchFamily="34" charset="0"/>
              </a:rPr>
              <a:t>FEIRAS</a:t>
            </a:r>
            <a:r>
              <a:rPr lang="pt-BR" sz="1700"/>
              <a:t>🤝</a:t>
            </a:r>
          </a:p>
          <a:p>
            <a:pPr algn="l"/>
            <a:endParaRPr lang="pt-BR" sz="1700">
              <a:solidFill>
                <a:schemeClr val="bg1"/>
              </a:solidFill>
              <a:latin typeface="Gill Sans MT" panose="020B0502020104020203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30" name="Conector reto 29">
            <a:extLst>
              <a:ext uri="{FF2B5EF4-FFF2-40B4-BE49-F238E27FC236}">
                <a16:creationId xmlns:a16="http://schemas.microsoft.com/office/drawing/2014/main" id="{B3967FAA-45CF-4847-4FD3-F055BA11C185}"/>
              </a:ext>
            </a:extLst>
          </xdr:cNvPr>
          <xdr:cNvCxnSpPr/>
        </xdr:nvCxnSpPr>
        <xdr:spPr>
          <a:xfrm>
            <a:off x="0" y="4108316"/>
            <a:ext cx="1620000" cy="0"/>
          </a:xfrm>
          <a:prstGeom prst="line">
            <a:avLst/>
          </a:prstGeom>
          <a:ln/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</xdr:colOff>
      <xdr:row>0</xdr:row>
      <xdr:rowOff>0</xdr:rowOff>
    </xdr:from>
    <xdr:to>
      <xdr:col>1</xdr:col>
      <xdr:colOff>0</xdr:colOff>
      <xdr:row>11</xdr:row>
      <xdr:rowOff>25400</xdr:rowOff>
    </xdr:to>
    <xdr:sp macro="" textlink="">
      <xdr:nvSpPr>
        <xdr:cNvPr id="2" name="Retângulo 1" descr="KPI_Orcado">
          <a:extLst>
            <a:ext uri="{FF2B5EF4-FFF2-40B4-BE49-F238E27FC236}">
              <a16:creationId xmlns:a16="http://schemas.microsoft.com/office/drawing/2014/main" id="{A3767390-0818-4DAF-A8F3-D11C67B4B8BA}"/>
            </a:ext>
          </a:extLst>
        </xdr:cNvPr>
        <xdr:cNvSpPr/>
      </xdr:nvSpPr>
      <xdr:spPr>
        <a:xfrm>
          <a:off x="9525" y="0"/>
          <a:ext cx="1924050" cy="2216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n cmpd="tri">
                <a:solidFill>
                  <a:schemeClr val="accent2">
                    <a:lumMod val="50000"/>
                  </a:schemeClr>
                </a:solidFill>
                <a:bevel/>
              </a:ln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2700000" scaled="1"/>
                <a:tileRect/>
              </a:gradFill>
              <a:latin typeface="Gill Sans MT" panose="020B0502020104020203" pitchFamily="34" charset="0"/>
            </a:rPr>
            <a:t>CONTROLE</a:t>
          </a:r>
          <a:r>
            <a:rPr lang="pt-BR" sz="1400" b="1" baseline="0">
              <a:ln cmpd="tri">
                <a:solidFill>
                  <a:schemeClr val="accent2">
                    <a:lumMod val="50000"/>
                  </a:schemeClr>
                </a:solidFill>
                <a:bevel/>
              </a:ln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2700000" scaled="1"/>
                <a:tileRect/>
              </a:gradFill>
              <a:latin typeface="Gill Sans MT" panose="020B0502020104020203" pitchFamily="34" charset="0"/>
            </a:rPr>
            <a:t> ORÇAMENTÁRIO</a:t>
          </a: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4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endParaRPr lang="pt-BR" sz="1200" b="1" baseline="0">
            <a:ln cmpd="tri">
              <a:solidFill>
                <a:schemeClr val="accent2">
                  <a:lumMod val="50000"/>
                </a:schemeClr>
              </a:solidFill>
              <a:bevel/>
            </a:ln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2">
                    <a:lumMod val="75000"/>
                  </a:schemeClr>
                </a:gs>
              </a:gsLst>
              <a:lin ang="2700000" scaled="1"/>
              <a:tileRect/>
            </a:gradFill>
            <a:latin typeface="Gill Sans MT" panose="020B0502020104020203" pitchFamily="34" charset="0"/>
          </a:endParaRPr>
        </a:p>
        <a:p>
          <a:pPr algn="ctr"/>
          <a:r>
            <a:rPr lang="pt-BR" sz="1200" b="1" baseline="0">
              <a:ln cmpd="tri">
                <a:solidFill>
                  <a:schemeClr val="accent2">
                    <a:lumMod val="50000"/>
                  </a:schemeClr>
                </a:solidFill>
                <a:bevel/>
              </a:ln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2700000" scaled="1"/>
                <a:tileRect/>
              </a:gradFill>
              <a:latin typeface="Gill Sans MT" panose="020B0502020104020203" pitchFamily="34" charset="0"/>
              <a:ea typeface="+mn-ea"/>
              <a:cs typeface="+mn-cs"/>
            </a:rPr>
            <a:t>TIME</a:t>
          </a:r>
          <a:r>
            <a:rPr lang="pt-BR" sz="1000" b="1" baseline="0">
              <a:ln cmpd="tri">
                <a:solidFill>
                  <a:schemeClr val="accent2">
                    <a:lumMod val="50000"/>
                  </a:schemeClr>
                </a:solidFill>
                <a:bevel/>
              </a:ln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2700000" scaled="1"/>
                <a:tileRect/>
              </a:gradFill>
              <a:latin typeface="Gill Sans MT" panose="020B0502020104020203" pitchFamily="34" charset="0"/>
            </a:rPr>
            <a:t> </a:t>
          </a:r>
          <a:r>
            <a:rPr lang="pt-BR" sz="1200" b="1" baseline="0">
              <a:ln cmpd="tri">
                <a:solidFill>
                  <a:schemeClr val="accent2">
                    <a:lumMod val="50000"/>
                  </a:schemeClr>
                </a:solidFill>
                <a:bevel/>
              </a:ln>
              <a:gradFill flip="none" rotWithShape="1">
                <a:gsLst>
                  <a:gs pos="0">
                    <a:schemeClr val="accent2">
                      <a:lumMod val="7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2700000" scaled="1"/>
                <a:tileRect/>
              </a:gradFill>
              <a:latin typeface="Gill Sans MT" panose="020B0502020104020203" pitchFamily="34" charset="0"/>
              <a:ea typeface="+mn-ea"/>
              <a:cs typeface="+mn-cs"/>
            </a:rPr>
            <a:t>COMERCIAL</a:t>
          </a:r>
        </a:p>
      </xdr:txBody>
    </xdr:sp>
    <xdr:clientData/>
  </xdr:twoCellAnchor>
  <xdr:twoCellAnchor editAs="oneCell">
    <xdr:from>
      <xdr:col>0</xdr:col>
      <xdr:colOff>445565</xdr:colOff>
      <xdr:row>3</xdr:row>
      <xdr:rowOff>74082</xdr:rowOff>
    </xdr:from>
    <xdr:to>
      <xdr:col>0</xdr:col>
      <xdr:colOff>1502840</xdr:colOff>
      <xdr:row>8</xdr:row>
      <xdr:rowOff>112182</xdr:rowOff>
    </xdr:to>
    <xdr:pic>
      <xdr:nvPicPr>
        <xdr:cNvPr id="5" name="Imagem 4" descr="Budget Special Flat icon | Freepik">
          <a:extLst>
            <a:ext uri="{FF2B5EF4-FFF2-40B4-BE49-F238E27FC236}">
              <a16:creationId xmlns:a16="http://schemas.microsoft.com/office/drawing/2014/main" id="{C2C3E1F5-26F4-44A0-B877-8634BFB89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565" y="674157"/>
          <a:ext cx="10572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</xdr:row>
      <xdr:rowOff>127002</xdr:rowOff>
    </xdr:from>
    <xdr:to>
      <xdr:col>1</xdr:col>
      <xdr:colOff>7250</xdr:colOff>
      <xdr:row>21</xdr:row>
      <xdr:rowOff>25402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8ED7B89C-6803-4190-9014-70DE31AE3BFD}"/>
            </a:ext>
          </a:extLst>
        </xdr:cNvPr>
        <xdr:cNvGrpSpPr/>
      </xdr:nvGrpSpPr>
      <xdr:grpSpPr>
        <a:xfrm>
          <a:off x="0" y="2317752"/>
          <a:ext cx="1944000" cy="1803400"/>
          <a:chOff x="0" y="2304916"/>
          <a:chExt cx="1944000" cy="1803400"/>
        </a:xfrm>
      </xdr:grpSpPr>
      <xdr:sp macro="" textlink="">
        <xdr:nvSpPr>
          <xdr:cNvPr id="40" name="Retângulo: Cantos Arredondados 39" descr="KPI_Orcado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1A20DC70-548B-AD7A-E6AE-8DA31FF359B5}"/>
              </a:ext>
            </a:extLst>
          </xdr:cNvPr>
          <xdr:cNvSpPr/>
        </xdr:nvSpPr>
        <xdr:spPr>
          <a:xfrm>
            <a:off x="0" y="3253144"/>
            <a:ext cx="1944000" cy="28800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700">
                <a:solidFill>
                  <a:schemeClr val="bg1"/>
                </a:solidFill>
                <a:latin typeface="Gill Sans MT" panose="020B0502020104020203" pitchFamily="34" charset="0"/>
                <a:cs typeface="Segoe UI Light" panose="020B0502040204020203" pitchFamily="34" charset="0"/>
              </a:rPr>
              <a:t>ORÇ.</a:t>
            </a:r>
            <a:r>
              <a:rPr lang="pt-BR" sz="1700" baseline="0">
                <a:solidFill>
                  <a:schemeClr val="bg1"/>
                </a:solidFill>
                <a:latin typeface="Gill Sans MT" panose="020B0502020104020203" pitchFamily="34" charset="0"/>
                <a:cs typeface="Segoe UI Light" panose="020B0502040204020203" pitchFamily="34" charset="0"/>
              </a:rPr>
              <a:t> vs REAL </a:t>
            </a:r>
            <a:r>
              <a:rPr lang="pt-BR" sz="1700"/>
              <a:t>📊</a:t>
            </a:r>
            <a:endParaRPr lang="pt-BR" sz="1700">
              <a:solidFill>
                <a:schemeClr val="bg1"/>
              </a:solidFill>
              <a:latin typeface="Gill Sans MT" panose="020B0502020104020203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41" name="Conector reto 40">
            <a:extLst>
              <a:ext uri="{FF2B5EF4-FFF2-40B4-BE49-F238E27FC236}">
                <a16:creationId xmlns:a16="http://schemas.microsoft.com/office/drawing/2014/main" id="{3CEB3D83-A0FC-CF6E-7E99-EB20BA98B884}"/>
              </a:ext>
            </a:extLst>
          </xdr:cNvPr>
          <xdr:cNvCxnSpPr/>
        </xdr:nvCxnSpPr>
        <xdr:spPr>
          <a:xfrm>
            <a:off x="0" y="3634201"/>
            <a:ext cx="1620000" cy="0"/>
          </a:xfrm>
          <a:prstGeom prst="line">
            <a:avLst/>
          </a:prstGeom>
          <a:ln/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42" name="Retângulo: Cantos Arredondados 41" descr="KPI_Orcado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D1513A8-4E11-15A8-026D-A04FF327AE5D}"/>
              </a:ext>
            </a:extLst>
          </xdr:cNvPr>
          <xdr:cNvSpPr/>
        </xdr:nvSpPr>
        <xdr:spPr>
          <a:xfrm>
            <a:off x="0" y="2779030"/>
            <a:ext cx="1944000" cy="28800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700">
                <a:solidFill>
                  <a:schemeClr val="bg1"/>
                </a:solidFill>
                <a:latin typeface="Gill Sans MT" panose="020B0502020104020203" pitchFamily="34" charset="0"/>
                <a:cs typeface="Segoe UI Light" panose="020B0502040204020203" pitchFamily="34" charset="0"/>
              </a:rPr>
              <a:t>CUSTOS </a:t>
            </a:r>
            <a:r>
              <a:rPr lang="pt-BR" sz="1700"/>
              <a:t>💸</a:t>
            </a:r>
            <a:endParaRPr lang="pt-BR" sz="1700">
              <a:solidFill>
                <a:schemeClr val="bg1"/>
              </a:solidFill>
              <a:latin typeface="Gill Sans MT" panose="020B0502020104020203" pitchFamily="34" charset="0"/>
              <a:cs typeface="Segoe UI Light" panose="020B0502040204020203" pitchFamily="34" charset="0"/>
            </a:endParaRPr>
          </a:p>
          <a:p>
            <a:pPr algn="l"/>
            <a:endParaRPr lang="pt-BR" sz="1700">
              <a:solidFill>
                <a:schemeClr val="bg1"/>
              </a:solidFill>
              <a:latin typeface="Gill Sans MT" panose="020B0502020104020203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43" name="Conector reto 42">
            <a:extLst>
              <a:ext uri="{FF2B5EF4-FFF2-40B4-BE49-F238E27FC236}">
                <a16:creationId xmlns:a16="http://schemas.microsoft.com/office/drawing/2014/main" id="{F400300F-3590-295B-A47A-95E34DAFCE95}"/>
              </a:ext>
            </a:extLst>
          </xdr:cNvPr>
          <xdr:cNvCxnSpPr/>
        </xdr:nvCxnSpPr>
        <xdr:spPr>
          <a:xfrm>
            <a:off x="0" y="3160087"/>
            <a:ext cx="1620000" cy="0"/>
          </a:xfrm>
          <a:prstGeom prst="line">
            <a:avLst/>
          </a:prstGeom>
          <a:ln/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44" name="Retângulo: Cantos Arredondados 43" descr="KPI_Orca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EF2E71A0-8F4D-9CED-378D-9E92D40C48B9}"/>
              </a:ext>
            </a:extLst>
          </xdr:cNvPr>
          <xdr:cNvSpPr/>
        </xdr:nvSpPr>
        <xdr:spPr>
          <a:xfrm>
            <a:off x="0" y="2304916"/>
            <a:ext cx="1944000" cy="28800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700">
                <a:solidFill>
                  <a:schemeClr val="bg1"/>
                </a:solidFill>
                <a:latin typeface="Gill Sans MT" panose="020B0502020104020203" pitchFamily="34" charset="0"/>
                <a:cs typeface="Segoe UI Light" panose="020B0502040204020203" pitchFamily="34" charset="0"/>
              </a:rPr>
              <a:t>ORÇAMENTO </a:t>
            </a:r>
            <a:r>
              <a:rPr lang="pt-BR" sz="1700"/>
              <a:t>💰</a:t>
            </a:r>
            <a:endParaRPr lang="pt-BR" sz="1700">
              <a:solidFill>
                <a:schemeClr val="bg1"/>
              </a:solidFill>
              <a:latin typeface="Gill Sans MT" panose="020B0502020104020203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45" name="Conector reto 44">
            <a:extLst>
              <a:ext uri="{FF2B5EF4-FFF2-40B4-BE49-F238E27FC236}">
                <a16:creationId xmlns:a16="http://schemas.microsoft.com/office/drawing/2014/main" id="{E07702DD-6A20-2248-9574-295178972AE6}"/>
              </a:ext>
            </a:extLst>
          </xdr:cNvPr>
          <xdr:cNvCxnSpPr/>
        </xdr:nvCxnSpPr>
        <xdr:spPr>
          <a:xfrm>
            <a:off x="0" y="2685973"/>
            <a:ext cx="1620000" cy="0"/>
          </a:xfrm>
          <a:prstGeom prst="line">
            <a:avLst/>
          </a:prstGeom>
          <a:ln/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46" name="Retângulo: Cantos Arredondados 45" descr="KPI_Orcado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BDD67DF-8DDB-6BD8-42D7-58CEC32210BC}"/>
              </a:ext>
            </a:extLst>
          </xdr:cNvPr>
          <xdr:cNvSpPr/>
        </xdr:nvSpPr>
        <xdr:spPr>
          <a:xfrm>
            <a:off x="0" y="3727258"/>
            <a:ext cx="1944000" cy="28800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r>
              <a:rPr lang="pt-BR" sz="1700">
                <a:solidFill>
                  <a:schemeClr val="bg1"/>
                </a:solidFill>
                <a:latin typeface="Gill Sans MT" panose="020B0502020104020203" pitchFamily="34" charset="0"/>
                <a:cs typeface="Segoe UI Light" panose="020B0502040204020203" pitchFamily="34" charset="0"/>
              </a:rPr>
              <a:t>FEIRAS</a:t>
            </a:r>
            <a:r>
              <a:rPr lang="pt-BR" sz="1700"/>
              <a:t>🤝</a:t>
            </a:r>
          </a:p>
          <a:p>
            <a:pPr algn="l"/>
            <a:endParaRPr lang="pt-BR" sz="1700">
              <a:solidFill>
                <a:schemeClr val="bg1"/>
              </a:solidFill>
              <a:latin typeface="Gill Sans MT" panose="020B0502020104020203" pitchFamily="34" charset="0"/>
              <a:cs typeface="Segoe UI Light" panose="020B0502040204020203" pitchFamily="34" charset="0"/>
            </a:endParaRPr>
          </a:p>
        </xdr:txBody>
      </xdr:sp>
      <xdr:cxnSp macro="">
        <xdr:nvCxnSpPr>
          <xdr:cNvPr id="47" name="Conector reto 46">
            <a:extLst>
              <a:ext uri="{FF2B5EF4-FFF2-40B4-BE49-F238E27FC236}">
                <a16:creationId xmlns:a16="http://schemas.microsoft.com/office/drawing/2014/main" id="{2ADDEE82-9856-5606-6284-D37A14DD3873}"/>
              </a:ext>
            </a:extLst>
          </xdr:cNvPr>
          <xdr:cNvCxnSpPr/>
        </xdr:nvCxnSpPr>
        <xdr:spPr>
          <a:xfrm>
            <a:off x="0" y="4108316"/>
            <a:ext cx="1620000" cy="0"/>
          </a:xfrm>
          <a:prstGeom prst="line">
            <a:avLst/>
          </a:prstGeom>
          <a:ln/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73C50-41DD-4DFE-A394-31163E763F12}" name="ORÇAMENTO" displayName="ORÇAMENTO" ref="C3:E5" headerRowDxfId="33" dataDxfId="31" totalsRowDxfId="32">
  <autoFilter ref="C3:E5" xr:uid="{84073C50-41DD-4DFE-A394-31163E763F12}"/>
  <tableColumns count="3">
    <tableColumn id="1" xr3:uid="{E1ABCE78-8AE0-4D62-A692-114832B2B9BD}" name="Categoria" totalsRowLabel="Total" dataDxfId="36"/>
    <tableColumn id="2" xr3:uid="{0C041FDE-3296-4440-9642-642B84CB9BDF}" name="Valor Orçado" dataDxfId="35"/>
    <tableColumn id="3" xr3:uid="{3E4AD08A-F573-4E5F-8F42-3684EADA1C83}" name="Mês/Ano" dataDxfId="34"/>
  </tableColumns>
  <tableStyleInfo name="TableStyleMedium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06884E-7E69-43B6-A1C1-0AA3CD99CAC0}" name="CUSTOS" displayName="CUSTOS" ref="C3:E5" headerRowDxfId="27" dataDxfId="25" totalsRowDxfId="26">
  <autoFilter ref="C3:E5" xr:uid="{EE06884E-7E69-43B6-A1C1-0AA3CD99CAC0}"/>
  <tableColumns count="3">
    <tableColumn id="1" xr3:uid="{CB71AD50-1121-4695-B43C-8E33E6DC5F08}" name="Categoria" totalsRowLabel="Total" dataDxfId="30"/>
    <tableColumn id="2" xr3:uid="{543E8C6A-F088-4A00-A9F3-6133E7722610}" name="Custo" dataDxfId="29"/>
    <tableColumn id="3" xr3:uid="{5BD90E9E-3E3F-4D50-8DB7-404FE61EF9EE}" name="Mês/Ano" dataDxfId="28"/>
  </tableColumns>
  <tableStyleInfo name="TableStyleMedium10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90DC85-5DC0-41BC-A745-6D59E510BCA8}" name="ORÇ_VS_REAL" displayName="ORÇ_VS_REAL" ref="C3:G5" headerRowDxfId="24" dataDxfId="23" totalsRowDxfId="22">
  <autoFilter ref="C3:G5" xr:uid="{C990DC85-5DC0-41BC-A745-6D59E510BCA8}"/>
  <tableColumns count="5">
    <tableColumn id="1" xr3:uid="{3B53DFDB-1972-4298-AC21-EE4315813898}" name="Categoria" totalsRowLabel="Total" dataDxfId="19"/>
    <tableColumn id="2" xr3:uid="{E152F815-1430-4BEA-ABC6-FD29E17D9C90}" name="Orçado" dataDxfId="18" dataCellStyle="Moeda">
      <calculatedColumnFormula array="1">_xlfn.XLOOKUP(ORÇ_VS_REAL[[#This Row],[Categoria]], ORÇAMENTO[[#All],[Categoria]],ORÇAMENTO[[#All],[Valor Orçado]])</calculatedColumnFormula>
    </tableColumn>
    <tableColumn id="3" xr3:uid="{BACB7863-2BD5-4424-8C80-5352C4B36FA3}" name="Gasto" dataDxfId="17" dataCellStyle="Moeda">
      <calculatedColumnFormula>SUMIFS(CUSTOS[Custo],CUSTOS[Categoria],ORÇ_VS_REAL[[#This Row],[Categoria]])</calculatedColumnFormula>
    </tableColumn>
    <tableColumn id="5" xr3:uid="{11AC04A9-2EE8-48DB-AFFD-0095B2D015D6}" name="SaldO" dataDxfId="15" totalsRowDxfId="21" dataCellStyle="Moeda">
      <calculatedColumnFormula>ORÇ_VS_REAL[[#This Row],[Orçado]] - ORÇ_VS_REAL[[#This Row],[Gasto]]</calculatedColumnFormula>
    </tableColumn>
    <tableColumn id="6" xr3:uid="{0A68E95C-6032-4044-99A9-45106A9C2DD5}" name="% Utilizado" dataDxfId="16" totalsRowDxfId="20" dataCellStyle="Porcentagem">
      <calculatedColumnFormula>IF(ORÇ_VS_REAL[[#This Row],[Orçado]]=0,0,ORÇ_VS_REAL[[#This Row],[Gasto]]/ORÇ_VS_REAL[[#This Row],[Orçado]])</calculatedColumnFormula>
    </tableColumn>
  </tableColumns>
  <tableStyleInfo name="TableStyleMedium10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F0971A-D661-4B8F-8FD3-B011C18D3BFF}" name="ORÇ_VS_REAL6" displayName="ORÇ_VS_REAL6" ref="C3:J5" headerRowDxfId="14" dataDxfId="13" totalsRowDxfId="12">
  <autoFilter ref="C3:J5" xr:uid="{0FF0971A-D661-4B8F-8FD3-B011C18D3BFF}"/>
  <tableColumns count="8">
    <tableColumn id="1" xr3:uid="{B9EDBE29-B065-4EC4-8BBE-9694352C9490}" name="Feira" totalsRowLabel="Total" dataDxfId="11"/>
    <tableColumn id="7" xr3:uid="{47E2336F-9519-4A89-9D13-C5602AAA87EA}" name="Regional" dataDxfId="4"/>
    <tableColumn id="2" xr3:uid="{F54ADD4D-AFA3-400F-B5FE-73469037432C}" name="Orçado" dataDxfId="10" dataCellStyle="Moeda">
      <calculatedColumnFormula array="1">_xlfn.XLOOKUP(ORÇ_VS_REAL6[[#This Row],[Feira]], ORÇAMENTO[[#All],[Categoria]],ORÇAMENTO[[#All],[Valor Orçado]])</calculatedColumnFormula>
    </tableColumn>
    <tableColumn id="3" xr3:uid="{07B87C91-AC96-4CCA-A5CA-6985C6503816}" name="Gasto" dataDxfId="9" dataCellStyle="Moeda">
      <calculatedColumnFormula>SUMIFS(CUSTOS[Custo],CUSTOS[Categoria],ORÇ_VS_REAL6[[#This Row],[Feira]])</calculatedColumnFormula>
    </tableColumn>
    <tableColumn id="5" xr3:uid="{EA940775-B0B1-47C9-9C55-7E3E3224A72A}" name="Saldo" dataDxfId="7" totalsRowDxfId="8" dataCellStyle="Moeda">
      <calculatedColumnFormula>ORÇ_VS_REAL6[[#This Row],[Orçado]] - ORÇ_VS_REAL6[[#This Row],[Gasto]]</calculatedColumnFormula>
    </tableColumn>
    <tableColumn id="6" xr3:uid="{A8BF5218-C707-40EE-8C75-E13BE670B76B}" name="% Utilizado" dataDxfId="5" totalsRowDxfId="6" dataCellStyle="Porcentagem">
      <calculatedColumnFormula>IF(ORÇ_VS_REAL6[[#This Row],[Orçado]]=0,0,ORÇ_VS_REAL6[[#This Row],[Gasto]]/ORÇ_VS_REAL6[[#This Row],[Orçado]])</calculatedColumnFormula>
    </tableColumn>
    <tableColumn id="8" xr3:uid="{C67653F1-B8F0-484C-AB2E-B013813FDEF1}" name="Leads" dataDxfId="3" totalsRowDxfId="2" dataCellStyle="Moeda"/>
    <tableColumn id="9" xr3:uid="{E0142D48-EC30-4C72-8A63-0AF949A59E22}" name="Faturamento" dataDxfId="1" totalsRowDxfId="0" dataCellStyle="Moeda"/>
  </tableColumns>
  <tableStyleInfo name="TableStyleMedium10" showFirstColumn="0" showLastColumn="0" showRowStripes="0" showColumnStripes="0"/>
</table>
</file>

<file path=xl/theme/theme1.xml><?xml version="1.0" encoding="utf-8"?>
<a:theme xmlns:a="http://schemas.openxmlformats.org/drawingml/2006/main" name="BIM 2026">
  <a:themeElements>
    <a:clrScheme name="BIM 2026">
      <a:dk1>
        <a:srgbClr val="2F3B4A"/>
      </a:dk1>
      <a:lt1>
        <a:srgbClr val="FFFFFF"/>
      </a:lt1>
      <a:dk2>
        <a:srgbClr val="3F4A57"/>
      </a:dk2>
      <a:lt2>
        <a:srgbClr val="F2F4F6"/>
      </a:lt2>
      <a:accent1>
        <a:srgbClr val="2F3B4A"/>
      </a:accent1>
      <a:accent2>
        <a:srgbClr val="C9B89A"/>
      </a:accent2>
      <a:accent3>
        <a:srgbClr val="BFC5CC"/>
      </a:accent3>
      <a:accent4>
        <a:srgbClr val="8A94A1"/>
      </a:accent4>
      <a:accent5>
        <a:srgbClr val="5C6773"/>
      </a:accent5>
      <a:accent6>
        <a:srgbClr val="E6E9ED"/>
      </a:accent6>
      <a:hlink>
        <a:srgbClr val="2F3B4A"/>
      </a:hlink>
      <a:folHlink>
        <a:srgbClr val="5C6773"/>
      </a:folHlink>
    </a:clrScheme>
    <a:fontScheme name="Padrão">
      <a:majorFont>
        <a:latin typeface="Gill Sans MT"/>
        <a:ea typeface=""/>
        <a:cs typeface=""/>
      </a:majorFont>
      <a:minorFont>
        <a:latin typeface="Aptos Narrow"/>
        <a:ea typeface=""/>
        <a:cs typeface=""/>
      </a:minorFont>
    </a:fontScheme>
    <a:fmtScheme name="Talho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/>
          </a:solidFill>
          <a:prstDash val="solid"/>
        </a:ln>
        <a:ln w="58420" cap="flat" cmpd="thickThin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27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l"/>
          </a:scene3d>
          <a:sp3d prstMaterial="flat">
            <a:bevelT w="31750" h="63500" prst="riblet"/>
          </a:sp3d>
        </a:effectStyle>
        <a:effectStyle>
          <a:effectLst>
            <a:outerShdw blurRad="50800" dist="38100" dir="27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l"/>
          </a:scene3d>
          <a:sp3d prstMaterial="flat">
            <a:bevelT w="57150" h="114300" prst="ribl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2:E7"/>
  <sheetViews>
    <sheetView showGridLines="0" tabSelected="1" zoomScale="90" zoomScaleNormal="90" workbookViewId="0">
      <selection activeCell="E18" sqref="E18"/>
    </sheetView>
  </sheetViews>
  <sheetFormatPr defaultRowHeight="15" x14ac:dyDescent="0.25"/>
  <cols>
    <col min="1" max="1" width="29" style="2" customWidth="1"/>
    <col min="2" max="2" width="9.140625" style="5"/>
    <col min="3" max="5" width="28.42578125" style="5" customWidth="1"/>
    <col min="6" max="16384" width="9.140625" style="5"/>
  </cols>
  <sheetData>
    <row r="2" spans="3:5" ht="17.25" x14ac:dyDescent="0.35">
      <c r="C2" s="6" t="s">
        <v>51</v>
      </c>
    </row>
    <row r="3" spans="3:5" x14ac:dyDescent="0.25">
      <c r="C3" s="7" t="s">
        <v>56</v>
      </c>
      <c r="D3" s="7" t="s">
        <v>60</v>
      </c>
      <c r="E3" s="7" t="s">
        <v>52</v>
      </c>
    </row>
    <row r="4" spans="3:5" x14ac:dyDescent="0.25">
      <c r="C4" s="8"/>
      <c r="D4" s="8"/>
      <c r="E4" s="8"/>
    </row>
    <row r="5" spans="3:5" x14ac:dyDescent="0.25">
      <c r="C5" s="8"/>
      <c r="D5" s="8"/>
      <c r="E5" s="8"/>
    </row>
    <row r="7" spans="3:5" ht="20.45" customHeight="1" x14ac:dyDescent="0.25"/>
  </sheetData>
  <sheetProtection selectLockedCells="1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4181-1521-4510-98EF-09306BE71E6D}">
  <sheetPr codeName="Planilha1"/>
  <dimension ref="A2:E7"/>
  <sheetViews>
    <sheetView showGridLines="0" zoomScale="90" zoomScaleNormal="90" workbookViewId="0">
      <selection activeCell="E9" sqref="E9"/>
    </sheetView>
  </sheetViews>
  <sheetFormatPr defaultRowHeight="15" x14ac:dyDescent="0.25"/>
  <cols>
    <col min="1" max="1" width="29" style="2" customWidth="1"/>
    <col min="2" max="2" width="9.140625" style="5"/>
    <col min="3" max="5" width="25.28515625" style="5" customWidth="1"/>
    <col min="6" max="16384" width="9.140625" style="5"/>
  </cols>
  <sheetData>
    <row r="2" spans="3:5" ht="17.25" x14ac:dyDescent="0.35">
      <c r="C2" s="6" t="s">
        <v>53</v>
      </c>
    </row>
    <row r="3" spans="3:5" x14ac:dyDescent="0.25">
      <c r="C3" s="9" t="s">
        <v>56</v>
      </c>
      <c r="D3" s="9" t="s">
        <v>54</v>
      </c>
      <c r="E3" s="9" t="s">
        <v>52</v>
      </c>
    </row>
    <row r="4" spans="3:5" x14ac:dyDescent="0.25">
      <c r="C4" s="10"/>
      <c r="D4" s="10"/>
      <c r="E4" s="10"/>
    </row>
    <row r="5" spans="3:5" x14ac:dyDescent="0.25">
      <c r="C5" s="10"/>
      <c r="D5" s="10"/>
      <c r="E5" s="10"/>
    </row>
    <row r="7" spans="3:5" ht="20.45" customHeight="1" x14ac:dyDescent="0.25"/>
  </sheetData>
  <sheetProtection selectLockedCells="1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1065-3E33-40CC-BD49-6AA0F9C55333}">
  <sheetPr codeName="Planilha3"/>
  <dimension ref="A2:G7"/>
  <sheetViews>
    <sheetView showGridLines="0" zoomScale="90" zoomScaleNormal="90" workbookViewId="0">
      <selection activeCell="C3" sqref="C3:G5"/>
    </sheetView>
  </sheetViews>
  <sheetFormatPr defaultRowHeight="15" x14ac:dyDescent="0.25"/>
  <cols>
    <col min="1" max="1" width="29" style="2" customWidth="1"/>
    <col min="2" max="2" width="9.140625" style="5"/>
    <col min="3" max="6" width="19" style="5" customWidth="1"/>
    <col min="7" max="7" width="15.5703125" style="5" bestFit="1" customWidth="1"/>
    <col min="8" max="8" width="19" style="5" customWidth="1"/>
    <col min="9" max="16384" width="9.140625" style="5"/>
  </cols>
  <sheetData>
    <row r="2" spans="3:7" ht="17.25" x14ac:dyDescent="0.35">
      <c r="C2" s="11" t="s">
        <v>55</v>
      </c>
      <c r="D2" s="11"/>
    </row>
    <row r="3" spans="3:7" x14ac:dyDescent="0.25">
      <c r="C3" s="9" t="s">
        <v>56</v>
      </c>
      <c r="D3" s="9" t="s">
        <v>57</v>
      </c>
      <c r="E3" s="9" t="s">
        <v>59</v>
      </c>
      <c r="F3" s="9" t="s">
        <v>62</v>
      </c>
      <c r="G3" s="9" t="s">
        <v>58</v>
      </c>
    </row>
    <row r="4" spans="3:7" x14ac:dyDescent="0.25">
      <c r="C4" s="10"/>
      <c r="D4" s="13" cm="1">
        <f t="array" ref="D4">_xlfn.XLOOKUP(ORÇ_VS_REAL[[#This Row],[Categoria]], ORÇAMENTO[[#All],[Categoria]],ORÇAMENTO[[#All],[Valor Orçado]])</f>
        <v>0</v>
      </c>
      <c r="E4" s="13">
        <f>SUMIFS(CUSTOS[Custo],CUSTOS[Categoria],ORÇ_VS_REAL[[#This Row],[Categoria]])</f>
        <v>0</v>
      </c>
      <c r="F4" s="13">
        <f>ORÇ_VS_REAL[[#This Row],[Orçado]] - ORÇ_VS_REAL[[#This Row],[Gasto]]</f>
        <v>0</v>
      </c>
      <c r="G4" s="12">
        <f>IF(ORÇ_VS_REAL[[#This Row],[Orçado]]=0,0,ORÇ_VS_REAL[[#This Row],[Gasto]]/ORÇ_VS_REAL[[#This Row],[Orçado]])</f>
        <v>0</v>
      </c>
    </row>
    <row r="5" spans="3:7" x14ac:dyDescent="0.25">
      <c r="C5" s="10"/>
      <c r="D5" s="13" cm="1">
        <f t="array" ref="D5">_xlfn.XLOOKUP(ORÇ_VS_REAL[[#This Row],[Categoria]], ORÇAMENTO[[#All],[Categoria]],ORÇAMENTO[[#All],[Valor Orçado]])</f>
        <v>0</v>
      </c>
      <c r="E5" s="13">
        <f>SUMIFS(CUSTOS[Custo],CUSTOS[Categoria],ORÇ_VS_REAL[[#This Row],[Categoria]])</f>
        <v>0</v>
      </c>
      <c r="F5" s="13">
        <f>ORÇ_VS_REAL[[#This Row],[Orçado]] - ORÇ_VS_REAL[[#This Row],[Gasto]]</f>
        <v>0</v>
      </c>
      <c r="G5" s="12">
        <f>IF(ORÇ_VS_REAL[[#This Row],[Orçado]]=0,0,ORÇ_VS_REAL[[#This Row],[Gasto]]/ORÇ_VS_REAL[[#This Row],[Orçado]])</f>
        <v>0</v>
      </c>
    </row>
    <row r="6" spans="3:7" x14ac:dyDescent="0.25">
      <c r="C6"/>
      <c r="D6"/>
      <c r="E6"/>
    </row>
    <row r="7" spans="3:7" ht="20.45" customHeight="1" x14ac:dyDescent="0.25"/>
  </sheetData>
  <sheetProtection selectLockedCells="1"/>
  <mergeCells count="1">
    <mergeCell ref="C2:D2"/>
  </mergeCells>
  <conditionalFormatting sqref="G4:G5">
    <cfRule type="iconSet" priority="1">
      <iconSet reverse="1">
        <cfvo type="percent" val="0"/>
        <cfvo type="num" val="0.6" gte="0"/>
        <cfvo type="num" val="0.8"/>
      </iconSet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4258-D8C3-4CA6-8CA7-EB47AFAD9750}">
  <sheetPr codeName="Planilha4"/>
  <dimension ref="A2:J7"/>
  <sheetViews>
    <sheetView showGridLines="0" zoomScale="90" zoomScaleNormal="90" workbookViewId="0">
      <selection activeCell="C21" sqref="C21"/>
    </sheetView>
  </sheetViews>
  <sheetFormatPr defaultRowHeight="15" x14ac:dyDescent="0.25"/>
  <cols>
    <col min="1" max="1" width="29" style="2" customWidth="1"/>
    <col min="3" max="8" width="18.140625" customWidth="1"/>
    <col min="9" max="9" width="15.42578125" customWidth="1"/>
    <col min="10" max="10" width="17" bestFit="1" customWidth="1"/>
  </cols>
  <sheetData>
    <row r="2" spans="3:10" ht="17.25" x14ac:dyDescent="0.35">
      <c r="C2" s="4" t="s">
        <v>61</v>
      </c>
      <c r="D2" s="3"/>
      <c r="I2" t="s">
        <v>66</v>
      </c>
    </row>
    <row r="3" spans="3:10" x14ac:dyDescent="0.25">
      <c r="C3" s="9" t="s">
        <v>63</v>
      </c>
      <c r="D3" s="9" t="s">
        <v>64</v>
      </c>
      <c r="E3" s="9" t="s">
        <v>57</v>
      </c>
      <c r="F3" s="9" t="s">
        <v>59</v>
      </c>
      <c r="G3" s="9" t="s">
        <v>65</v>
      </c>
      <c r="H3" s="9" t="s">
        <v>58</v>
      </c>
      <c r="I3" s="9" t="s">
        <v>67</v>
      </c>
      <c r="J3" s="9" t="s">
        <v>68</v>
      </c>
    </row>
    <row r="4" spans="3:10" x14ac:dyDescent="0.25">
      <c r="C4" s="10"/>
      <c r="D4" s="10"/>
      <c r="E4" s="13" cm="1">
        <f t="array" ref="E4">_xlfn.XLOOKUP(ORÇ_VS_REAL6[[#This Row],[Feira]], ORÇAMENTO[[#All],[Categoria]],ORÇAMENTO[[#All],[Valor Orçado]])</f>
        <v>0</v>
      </c>
      <c r="F4" s="13">
        <f>SUMIFS(CUSTOS[Custo],CUSTOS[Categoria],ORÇ_VS_REAL6[[#This Row],[Feira]])</f>
        <v>0</v>
      </c>
      <c r="G4" s="13">
        <f>ORÇ_VS_REAL6[[#This Row],[Orçado]] - ORÇ_VS_REAL6[[#This Row],[Gasto]]</f>
        <v>0</v>
      </c>
      <c r="H4" s="12">
        <f>IF(ORÇ_VS_REAL6[[#This Row],[Orçado]]=0,0,ORÇ_VS_REAL6[[#This Row],[Gasto]]/ORÇ_VS_REAL6[[#This Row],[Orçado]])</f>
        <v>0</v>
      </c>
      <c r="I4" s="13"/>
      <c r="J4" s="13"/>
    </row>
    <row r="5" spans="3:10" x14ac:dyDescent="0.25">
      <c r="C5" s="10"/>
      <c r="D5" s="10"/>
      <c r="E5" s="13" cm="1">
        <f t="array" ref="E5">_xlfn.XLOOKUP(ORÇ_VS_REAL6[[#This Row],[Feira]], ORÇAMENTO[[#All],[Categoria]],ORÇAMENTO[[#All],[Valor Orçado]])</f>
        <v>0</v>
      </c>
      <c r="F5" s="13">
        <f>SUMIFS(CUSTOS[Custo],CUSTOS[Categoria],ORÇ_VS_REAL6[[#This Row],[Feira]])</f>
        <v>0</v>
      </c>
      <c r="G5" s="13">
        <f>ORÇ_VS_REAL6[[#This Row],[Orçado]] - ORÇ_VS_REAL6[[#This Row],[Gasto]]</f>
        <v>0</v>
      </c>
      <c r="H5" s="12">
        <f>IF(ORÇ_VS_REAL6[[#This Row],[Orçado]]=0,0,ORÇ_VS_REAL6[[#This Row],[Gasto]]/ORÇ_VS_REAL6[[#This Row],[Orçado]])</f>
        <v>0</v>
      </c>
      <c r="I5" s="13"/>
      <c r="J5" s="13"/>
    </row>
    <row r="7" spans="3:10" ht="20.45" customHeight="1" x14ac:dyDescent="0.25"/>
  </sheetData>
  <sheetProtection selectLockedCells="1"/>
  <conditionalFormatting sqref="H4:H5">
    <cfRule type="iconSet" priority="1">
      <iconSet reverse="1">
        <cfvo type="percent" val="0"/>
        <cfvo type="num" val="0.6" gte="0"/>
        <cfvo type="num" val="0.8"/>
      </iconSet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sheetPr codeName="Planilha5"/>
  <dimension ref="A1:A51"/>
  <sheetViews>
    <sheetView showGridLines="0" topLeftCell="A39" workbookViewId="0"/>
  </sheetViews>
  <sheetFormatPr defaultRowHeight="15" x14ac:dyDescent="0.25"/>
  <cols>
    <col min="1" max="1" width="37.1406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ORÇAMENTO</vt:lpstr>
      <vt:lpstr>CUSTOS</vt:lpstr>
      <vt:lpstr>ORÇ. vs REAL</vt:lpstr>
      <vt:lpstr>FEIRAS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Rubia Oliveira</cp:lastModifiedBy>
  <dcterms:created xsi:type="dcterms:W3CDTF">2025-04-28T13:43:30Z</dcterms:created>
  <dcterms:modified xsi:type="dcterms:W3CDTF">2026-02-03T19:33:08Z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